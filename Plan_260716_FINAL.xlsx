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hir\OneDrive\Escritorio\MES\MES\MESILSANLOCAL\outputs\plan_format_qa\"/>
    </mc:Choice>
  </mc:AlternateContent>
  <xr:revisionPtr revIDLastSave="0" documentId="13_ncr:1_{5072533B-09E7-402E-9118-91AF0542BAEB}" xr6:coauthVersionLast="47" xr6:coauthVersionMax="47" xr10:uidLastSave="{00000000-0000-0000-0000-000000000000}"/>
  <bookViews>
    <workbookView xWindow="1950" yWindow="1950" windowWidth="28800" windowHeight="11295" xr2:uid="{00000000-000D-0000-FFFF-FFFF00000000}"/>
  </bookViews>
  <sheets>
    <sheet name="Resumen" sheetId="1" r:id="rId1"/>
    <sheet name="Plan 17-jul" sheetId="2" r:id="rId2"/>
    <sheet name="Horizonte" sheetId="3" r:id="rId3"/>
    <sheet name="Logica" sheetId="4" r:id="rId4"/>
    <sheet name="No planeadas" sheetId="5" r:id="rId5"/>
    <sheet name="Part" sheetId="6" r:id="rId6"/>
  </sheets>
  <definedNames>
    <definedName name="_xlnm.Print_Area" localSheetId="2">Horizonte!$A$1:$G$17</definedName>
    <definedName name="_xlnm.Print_Area" localSheetId="3">Logica!$A$1:$E$10</definedName>
    <definedName name="_xlnm.Print_Area" localSheetId="4">'No planeadas'!$A$1:$D$10</definedName>
    <definedName name="_xlnm.Print_Area" localSheetId="5">Part!$A$1:$L$36</definedName>
    <definedName name="_xlnm.Print_Area" localSheetId="1">'Plan 17-jul'!$A$1:$I$32</definedName>
    <definedName name="_xlnm.Print_Area" localSheetId="0">Resumen!$A$1:$F$27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6" l="1"/>
  <c r="K22" i="6"/>
  <c r="J22" i="6"/>
  <c r="I22" i="6"/>
  <c r="H22" i="6"/>
  <c r="G22" i="6"/>
  <c r="F22" i="6"/>
  <c r="E22" i="6"/>
  <c r="D22" i="6"/>
  <c r="C22" i="6"/>
  <c r="F28" i="2"/>
  <c r="G28" i="2" s="1"/>
  <c r="D28" i="2"/>
  <c r="F17" i="2"/>
  <c r="G17" i="2" s="1"/>
  <c r="D17" i="2"/>
  <c r="F10" i="2"/>
  <c r="G10" i="2" s="1"/>
  <c r="D10" i="2"/>
  <c r="F6" i="2"/>
  <c r="D6" i="2"/>
  <c r="D30" i="2" l="1"/>
  <c r="F30" i="2"/>
  <c r="G6" i="2"/>
</calcChain>
</file>

<file path=xl/sharedStrings.xml><?xml version="1.0" encoding="utf-8"?>
<sst xmlns="http://schemas.openxmlformats.org/spreadsheetml/2006/main" count="253" uniqueCount="126">
  <si>
    <t>Plan Proyectado — propuesta de producción (17/07/2026)</t>
  </si>
  <si>
    <t>Qué es esto</t>
  </si>
  <si>
    <t>Propuesta calculada por el motor mrp-capacity-v3 para 17/07/2026. El Excel conserva la distribución por bloques, líneas, partes, cantidades, UPH, horas e inventario. Exportarlo no aplica el schedule.</t>
  </si>
  <si>
    <t>Resumen general</t>
  </si>
  <si>
    <t>Indicador</t>
  </si>
  <si>
    <t>Valor</t>
  </si>
  <si>
    <t>Propuesta ID</t>
  </si>
  <si>
    <t>153df596-3135-4990-b052-1a8ef58528e7</t>
  </si>
  <si>
    <t>Estado</t>
  </si>
  <si>
    <t>PENDING_CONFIRMATION</t>
  </si>
  <si>
    <t>Fecha del plan</t>
  </si>
  <si>
    <t>2026-07-17</t>
  </si>
  <si>
    <t>Motor</t>
  </si>
  <si>
    <t>mrp-capacity-v3</t>
  </si>
  <si>
    <t>Partes / lotes</t>
  </si>
  <si>
    <t>Cantidad total</t>
  </si>
  <si>
    <t>Horas totales</t>
  </si>
  <si>
    <t>Bloques de 9 h</t>
  </si>
  <si>
    <t>Partes omitidas</t>
  </si>
  <si>
    <t>Objetivo</t>
  </si>
  <si>
    <t>Plan de producción para MAIN para mañana.</t>
  </si>
  <si>
    <t>Carga por línea</t>
  </si>
  <si>
    <t>Línea</t>
  </si>
  <si>
    <t>Lotes</t>
  </si>
  <si>
    <t>Cantidad</t>
  </si>
  <si>
    <t>Horas</t>
  </si>
  <si>
    <t>D1</t>
  </si>
  <si>
    <t>D2</t>
  </si>
  <si>
    <t>D3</t>
  </si>
  <si>
    <t>M1</t>
  </si>
  <si>
    <t>M2</t>
  </si>
  <si>
    <t>M3</t>
  </si>
  <si>
    <t>M4</t>
  </si>
  <si>
    <t>Se omitieron 9 partes. Consulta la hoja 'No planeadas'. La propuesta permanece pendiente hasta que se confirme expresamente su aplicación al MES.</t>
  </si>
  <si>
    <t>Plan propuesto — 17/07/2026 (4 bloques de 9 h; propuesta 153df596)</t>
  </si>
  <si>
    <t>Bloque</t>
  </si>
  <si>
    <t>Parte</t>
  </si>
  <si>
    <t>UPH</t>
  </si>
  <si>
    <t>Inv. antes</t>
  </si>
  <si>
    <t>Inv. después</t>
  </si>
  <si>
    <t>Falta el</t>
  </si>
  <si>
    <t>B1</t>
  </si>
  <si>
    <t>EBR76683912</t>
  </si>
  <si>
    <t>2026-07-21</t>
  </si>
  <si>
    <t>AJJ30036901</t>
  </si>
  <si>
    <t>2026-07-22</t>
  </si>
  <si>
    <t>Total B1 (D1)</t>
  </si>
  <si>
    <t>B2</t>
  </si>
  <si>
    <t>EBR80757432</t>
  </si>
  <si>
    <t>2026-07-20</t>
  </si>
  <si>
    <t>EBR33105505</t>
  </si>
  <si>
    <t>Total B2 (M4)</t>
  </si>
  <si>
    <t>B3</t>
  </si>
  <si>
    <t>ACQ91482499</t>
  </si>
  <si>
    <t>ABQ75822454</t>
  </si>
  <si>
    <t>ABQ75822467</t>
  </si>
  <si>
    <t>ABQ75822468</t>
  </si>
  <si>
    <t>ABQ74229133</t>
  </si>
  <si>
    <t>Total B3 (D2+D3)</t>
  </si>
  <si>
    <t>B4</t>
  </si>
  <si>
    <t>EBR24212304</t>
  </si>
  <si>
    <t>EBR37437079</t>
  </si>
  <si>
    <t>EBR37437070</t>
  </si>
  <si>
    <t>EBR37437069</t>
  </si>
  <si>
    <t>EBR30299365</t>
  </si>
  <si>
    <t>EBR30299357</t>
  </si>
  <si>
    <t>EBR30299369</t>
  </si>
  <si>
    <t>EBR86093707</t>
  </si>
  <si>
    <t>EBR83845048</t>
  </si>
  <si>
    <t>Total B4 (M1+M2+M3)</t>
  </si>
  <si>
    <t>TOTAL</t>
  </si>
  <si>
    <t>de 36 h (4 bloques x 9 h)</t>
  </si>
  <si>
    <t>Inv. antes = inventario proyectado el día del faltante. Inv. después = inventario más cantidad planeada. Cada línea queda completa en un solo bloque; ningún bloque debe superar 9 h.</t>
  </si>
  <si>
    <t>Capacidad y horizonte de la propuesta</t>
  </si>
  <si>
    <t>Piezas</t>
  </si>
  <si>
    <t>Diagnóstico</t>
  </si>
  <si>
    <t>Dentro de capacidad</t>
  </si>
  <si>
    <t>Horizonte evaluado</t>
  </si>
  <si>
    <t>El schedule propuesto cubre 2026-07-17 a 2026-07-17. Los lotes evitan faltantes entre 2026-07-17 y 2026-07-22. La hoja muestra la capacidad usada por línea; los bloques combinan líneas compatibles hasta 9 h.</t>
  </si>
  <si>
    <t>Cómo se calcula el plan — paso a paso</t>
  </si>
  <si>
    <t>1</t>
  </si>
  <si>
    <t>Inventario inicial (I0)</t>
  </si>
  <si>
    <t>Suma LGEMM, ISEMM, SVC, DIF, pendiente, rework, SMT e IMD de la referencia semanal.</t>
  </si>
  <si>
    <t>2</t>
  </si>
  <si>
    <t>Proyección diaria</t>
  </si>
  <si>
    <t>I(t) = I(t-1) - P(t) + S(t): consumo de LG menos lo ya surtido o programado.</t>
  </si>
  <si>
    <t>3</t>
  </si>
  <si>
    <t>Faltante</t>
  </si>
  <si>
    <t>Una parte es candidata cuando el inventario proyectado cae debajo de cero dentro de su horizonte.</t>
  </si>
  <si>
    <t>4</t>
  </si>
  <si>
    <t>Se cubre el faltante con margen y caja cerrada; el lote busca conservar el remanente objetivo.</t>
  </si>
  <si>
    <t>5</t>
  </si>
  <si>
    <t>Se respeta la línea de ensamble registrada. Una parte no se reasigna a una línea incorrecta.</t>
  </si>
  <si>
    <t>6</t>
  </si>
  <si>
    <t>Capacidad</t>
  </si>
  <si>
    <t>Horas del lote = cantidad / UPH. Las líneas se acomodan en bloques compatibles de hasta 9 h.</t>
  </si>
  <si>
    <t>7</t>
  </si>
  <si>
    <t>Orden</t>
  </si>
  <si>
    <t>Se priorizan faltantes cercanos y se mantienen juntas las familias para reducir cambios de modelo.</t>
  </si>
  <si>
    <t>8</t>
  </si>
  <si>
    <t>Excepciones</t>
  </si>
  <si>
    <t>Faltantes de inventario, CT, UPH, pack, línea o capacidad se reportan; no se inventan datos.</t>
  </si>
  <si>
    <t>Partes que NO entraron al plan y por qué</t>
  </si>
  <si>
    <t>Motivo</t>
  </si>
  <si>
    <t>Partes</t>
  </si>
  <si>
    <t>Qué significa / qué hacer</t>
  </si>
  <si>
    <t>Omitidas antes de formar lotes</t>
  </si>
  <si>
    <t>Revisar inventario base, CT, UPH, pack, línea activa y capacidad disponible.</t>
  </si>
  <si>
    <t>PARTIAL_CAPACITY</t>
  </si>
  <si>
    <t>El lote entró parcialmente por el límite de horas del bloque.</t>
  </si>
  <si>
    <t>Las partes omitidas no se agregan de manera automática: el motor conserva la excepción para que Planning corrija el dato o autorice capacidad adicional.</t>
  </si>
  <si>
    <t>Cómo queda el Part — renglón S (lo que se planea, por fecha)</t>
  </si>
  <si>
    <t>17/07 vie</t>
  </si>
  <si>
    <t>18/07 sáb</t>
  </si>
  <si>
    <t>19/07 dom</t>
  </si>
  <si>
    <t>20/07 lun</t>
  </si>
  <si>
    <t>21/07 mar</t>
  </si>
  <si>
    <t>22/07 mié</t>
  </si>
  <si>
    <t>23/07 jue</t>
  </si>
  <si>
    <t>24/07 vie</t>
  </si>
  <si>
    <t>25/07 sáb</t>
  </si>
  <si>
    <t>26/07 dom</t>
  </si>
  <si>
    <t>TOTAL pzs</t>
  </si>
  <si>
    <t>Horas por línea (límite 9 h)</t>
  </si>
  <si>
    <t>Gris = sábado y domingo. Las cantidades aparecen en la fecha propuesta de producción.</t>
  </si>
  <si>
    <t>Ninguna línea debe pasar de 9 h; las excepciones de capacidad se muestran en 'No planeadas'.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</si>
</sst>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b/>
      <sz val="15"/>
      <color rgb="FFFFFFFF"/>
      <name val="맑은 고딕"/>
    </font>
    <font>
      <b/>
      <sz val="12"/>
      <name val="맑은 고딕"/>
    </font>
    <font>
      <b/>
      <sz val="11"/>
      <color rgb="FFFFFFFF"/>
      <name val="맑은 고딕"/>
    </font>
    <font>
      <b/>
      <sz val="11"/>
      <name val="맑은 고딕"/>
    </font>
    <font>
      <b/>
      <sz val="11"/>
      <color rgb="FF1F6E43"/>
      <name val="맑은 고딕"/>
    </font>
    <font>
      <sz val="11"/>
      <color rgb="FFC00000"/>
      <name val="맑은 고딕"/>
    </font>
    <font>
      <i/>
      <sz val="11"/>
      <name val="맑은 고딕"/>
    </font>
    <font>
      <i/>
      <sz val="9"/>
      <color rgb="FF606060"/>
      <name val="맑은 고딕"/>
    </font>
    <font>
      <b/>
      <sz val="13"/>
      <color rgb="FF2E5C9A"/>
      <name val="맑은 고딕"/>
    </font>
    <font>
      <b/>
      <sz val="11"/>
      <color rgb="FFC00000"/>
      <name val="맑은 고딕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C9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/>
    <xf numFmtId="0" fontId="0" fillId="0" borderId="1" xfId="0" applyBorder="1"/>
    <xf numFmtId="0" fontId="6" fillId="0" borderId="1" xfId="0" applyFont="1" applyBorder="1"/>
    <xf numFmtId="0" fontId="4" fillId="4" borderId="0" xfId="0" applyFont="1" applyFill="1"/>
    <xf numFmtId="0" fontId="7" fillId="4" borderId="0" xfId="0" applyFont="1" applyFill="1"/>
    <xf numFmtId="0" fontId="2" fillId="5" borderId="0" xfId="0" applyFont="1" applyFill="1"/>
    <xf numFmtId="0" fontId="7" fillId="5" borderId="0" xfId="0" applyFont="1" applyFill="1"/>
    <xf numFmtId="0" fontId="0" fillId="5" borderId="1" xfId="0" applyFill="1" applyBorder="1"/>
    <xf numFmtId="0" fontId="0" fillId="5" borderId="1" xfId="0" applyFill="1" applyBorder="1" applyAlignment="1">
      <alignment vertical="top" wrapText="1"/>
    </xf>
    <xf numFmtId="0" fontId="9" fillId="0" borderId="1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4" fillId="0" borderId="0" xfId="0" applyFont="1"/>
    <xf numFmtId="3" fontId="0" fillId="5" borderId="1" xfId="0" applyNumberFormat="1" applyFill="1" applyBorder="1"/>
    <xf numFmtId="2" fontId="0" fillId="5" borderId="1" xfId="0" applyNumberFormat="1" applyFill="1" applyBorder="1"/>
    <xf numFmtId="3" fontId="0" fillId="0" borderId="1" xfId="0" applyNumberFormat="1" applyBorder="1"/>
    <xf numFmtId="2" fontId="0" fillId="0" borderId="1" xfId="0" applyNumberFormat="1" applyBorder="1"/>
    <xf numFmtId="3" fontId="4" fillId="4" borderId="0" xfId="0" applyNumberFormat="1" applyFont="1" applyFill="1"/>
    <xf numFmtId="2" fontId="5" fillId="4" borderId="0" xfId="0" applyNumberFormat="1" applyFont="1" applyFill="1"/>
    <xf numFmtId="3" fontId="2" fillId="5" borderId="0" xfId="0" applyNumberFormat="1" applyFont="1" applyFill="1"/>
    <xf numFmtId="2" fontId="2" fillId="5" borderId="0" xfId="0" applyNumberFormat="1" applyFont="1" applyFill="1"/>
    <xf numFmtId="3" fontId="0" fillId="8" borderId="1" xfId="0" applyNumberFormat="1" applyFill="1" applyBorder="1"/>
    <xf numFmtId="3" fontId="4" fillId="6" borderId="0" xfId="0" applyNumberFormat="1" applyFont="1" applyFill="1"/>
    <xf numFmtId="2" fontId="0" fillId="8" borderId="1" xfId="0" applyNumberFormat="1" applyFill="1" applyBorder="1"/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8" fillId="0" borderId="0" xfId="0" applyFont="1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showGridLines="0" tabSelected="1" workbookViewId="0">
      <pane ySplit="1" topLeftCell="A2" activePane="bottomLeft" state="frozen"/>
      <selection pane="bottomLeft" sqref="A1:F1"/>
    </sheetView>
  </sheetViews>
  <sheetFormatPr baseColWidth="10" defaultColWidth="9" defaultRowHeight="16.5"/>
  <cols>
    <col min="1" max="1" width="3" customWidth="1"/>
    <col min="2" max="2" width="34" customWidth="1"/>
    <col min="3" max="4" width="26" customWidth="1"/>
    <col min="5" max="5" width="60" customWidth="1"/>
    <col min="6" max="6" width="3" customWidth="1"/>
  </cols>
  <sheetData>
    <row r="1" spans="1:6" ht="30" customHeight="1">
      <c r="A1" s="29" t="s">
        <v>0</v>
      </c>
      <c r="B1" s="28"/>
      <c r="C1" s="28"/>
      <c r="D1" s="28"/>
      <c r="E1" s="28"/>
      <c r="F1" s="28"/>
    </row>
    <row r="3" spans="1:6" ht="17.25">
      <c r="B3" s="1" t="s">
        <v>1</v>
      </c>
    </row>
    <row r="4" spans="1:6">
      <c r="B4" s="27" t="s">
        <v>2</v>
      </c>
      <c r="C4" s="28"/>
      <c r="D4" s="28"/>
      <c r="E4" s="28"/>
    </row>
    <row r="5" spans="1:6">
      <c r="B5" s="28"/>
      <c r="C5" s="28"/>
      <c r="D5" s="28"/>
      <c r="E5" s="28"/>
    </row>
    <row r="7" spans="1:6" ht="17.25">
      <c r="B7" s="1" t="s">
        <v>3</v>
      </c>
    </row>
    <row r="8" spans="1:6">
      <c r="B8" s="2" t="s">
        <v>4</v>
      </c>
      <c r="C8" s="2" t="s">
        <v>5</v>
      </c>
      <c r="D8" s="2" t="s">
        <v>4</v>
      </c>
      <c r="E8" s="2" t="s">
        <v>5</v>
      </c>
    </row>
    <row r="9" spans="1:6">
      <c r="B9" s="4" t="s">
        <v>6</v>
      </c>
      <c r="C9" s="5" t="s">
        <v>7</v>
      </c>
      <c r="D9" s="4" t="s">
        <v>8</v>
      </c>
      <c r="E9" s="5" t="s">
        <v>9</v>
      </c>
    </row>
    <row r="10" spans="1:6">
      <c r="B10" s="4" t="s">
        <v>10</v>
      </c>
      <c r="C10" s="5" t="s">
        <v>11</v>
      </c>
      <c r="D10" s="4" t="s">
        <v>12</v>
      </c>
      <c r="E10" s="5" t="s">
        <v>13</v>
      </c>
    </row>
    <row r="11" spans="1:6">
      <c r="B11" s="4" t="s">
        <v>14</v>
      </c>
      <c r="C11" s="5">
        <v>18</v>
      </c>
      <c r="D11" s="4" t="s">
        <v>15</v>
      </c>
      <c r="E11" s="5">
        <v>8860</v>
      </c>
    </row>
    <row r="12" spans="1:6">
      <c r="B12" s="4" t="s">
        <v>16</v>
      </c>
      <c r="C12" s="5">
        <v>32.15</v>
      </c>
      <c r="D12" s="4" t="s">
        <v>17</v>
      </c>
      <c r="E12" s="5">
        <v>4</v>
      </c>
    </row>
    <row r="13" spans="1:6">
      <c r="B13" s="4" t="s">
        <v>18</v>
      </c>
      <c r="C13" s="5">
        <v>9</v>
      </c>
      <c r="D13" s="4" t="s">
        <v>19</v>
      </c>
      <c r="E13" s="5" t="s">
        <v>20</v>
      </c>
    </row>
    <row r="16" spans="1:6" ht="17.25">
      <c r="B16" s="1" t="s">
        <v>21</v>
      </c>
    </row>
    <row r="17" spans="2:5">
      <c r="B17" s="2" t="s">
        <v>22</v>
      </c>
      <c r="C17" s="2" t="s">
        <v>23</v>
      </c>
      <c r="D17" s="2" t="s">
        <v>24</v>
      </c>
      <c r="E17" s="2" t="s">
        <v>25</v>
      </c>
    </row>
    <row r="18" spans="2:5">
      <c r="B18" s="11" t="s">
        <v>26</v>
      </c>
      <c r="C18" s="11">
        <v>2</v>
      </c>
      <c r="D18" s="16">
        <v>2940</v>
      </c>
      <c r="E18" s="17">
        <v>8.98</v>
      </c>
    </row>
    <row r="19" spans="2:5">
      <c r="B19" s="11" t="s">
        <v>27</v>
      </c>
      <c r="C19" s="11">
        <v>1</v>
      </c>
      <c r="D19" s="16">
        <v>380</v>
      </c>
      <c r="E19" s="17">
        <v>2.5299999999999998</v>
      </c>
    </row>
    <row r="20" spans="2:5">
      <c r="B20" s="11" t="s">
        <v>28</v>
      </c>
      <c r="C20" s="11">
        <v>4</v>
      </c>
      <c r="D20" s="16">
        <v>950</v>
      </c>
      <c r="E20" s="17">
        <v>3.61</v>
      </c>
    </row>
    <row r="21" spans="2:5">
      <c r="B21" s="11" t="s">
        <v>29</v>
      </c>
      <c r="C21" s="11">
        <v>1</v>
      </c>
      <c r="D21" s="16">
        <v>820</v>
      </c>
      <c r="E21" s="17">
        <v>3.42</v>
      </c>
    </row>
    <row r="22" spans="2:5">
      <c r="B22" s="11" t="s">
        <v>30</v>
      </c>
      <c r="C22" s="11">
        <v>3</v>
      </c>
      <c r="D22" s="16">
        <v>490</v>
      </c>
      <c r="E22" s="17">
        <v>2.04</v>
      </c>
    </row>
    <row r="23" spans="2:5">
      <c r="B23" s="11" t="s">
        <v>31</v>
      </c>
      <c r="C23" s="11">
        <v>5</v>
      </c>
      <c r="D23" s="16">
        <v>660</v>
      </c>
      <c r="E23" s="17">
        <v>2.65</v>
      </c>
    </row>
    <row r="24" spans="2:5">
      <c r="B24" s="11" t="s">
        <v>32</v>
      </c>
      <c r="C24" s="11">
        <v>2</v>
      </c>
      <c r="D24" s="16">
        <v>2620</v>
      </c>
      <c r="E24" s="17">
        <v>8.93</v>
      </c>
    </row>
    <row r="26" spans="2:5">
      <c r="B26" s="27" t="s">
        <v>33</v>
      </c>
      <c r="C26" s="28"/>
      <c r="D26" s="28"/>
      <c r="E26" s="28"/>
    </row>
    <row r="27" spans="2:5">
      <c r="B27" s="28"/>
      <c r="C27" s="28"/>
      <c r="D27" s="28"/>
      <c r="E27" s="28"/>
    </row>
  </sheetData>
  <mergeCells count="3">
    <mergeCell ref="B4:E5"/>
    <mergeCell ref="A1:F1"/>
    <mergeCell ref="B26:E27"/>
  </mergeCells>
  <phoneticPr fontId="11" type="noConversion"/>
  <pageMargins left="0.35" right="0.35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2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6.5"/>
  <cols>
    <col min="1" max="2" width="7" customWidth="1"/>
    <col min="3" max="3" width="16" customWidth="1"/>
    <col min="4" max="4" width="10" customWidth="1"/>
    <col min="5" max="5" width="8" customWidth="1"/>
    <col min="6" max="6" width="9" customWidth="1"/>
    <col min="7" max="9" width="12" customWidth="1"/>
  </cols>
  <sheetData>
    <row r="1" spans="1:9" ht="30" customHeight="1">
      <c r="A1" s="29" t="s">
        <v>34</v>
      </c>
      <c r="B1" s="28"/>
      <c r="C1" s="28"/>
      <c r="D1" s="28"/>
      <c r="E1" s="28"/>
      <c r="F1" s="28"/>
      <c r="G1" s="28"/>
      <c r="H1" s="28"/>
      <c r="I1" s="28"/>
    </row>
    <row r="3" spans="1:9">
      <c r="A3" s="2" t="s">
        <v>35</v>
      </c>
      <c r="B3" s="2" t="s">
        <v>22</v>
      </c>
      <c r="C3" s="2" t="s">
        <v>36</v>
      </c>
      <c r="D3" s="2" t="s">
        <v>24</v>
      </c>
      <c r="E3" s="2" t="s">
        <v>37</v>
      </c>
      <c r="F3" s="2" t="s">
        <v>25</v>
      </c>
      <c r="G3" s="2" t="s">
        <v>38</v>
      </c>
      <c r="H3" s="2" t="s">
        <v>39</v>
      </c>
      <c r="I3" s="2" t="s">
        <v>40</v>
      </c>
    </row>
    <row r="4" spans="1:9">
      <c r="A4" s="4" t="s">
        <v>41</v>
      </c>
      <c r="B4" s="5" t="s">
        <v>26</v>
      </c>
      <c r="C4" s="5" t="s">
        <v>42</v>
      </c>
      <c r="D4" s="18">
        <v>2200</v>
      </c>
      <c r="E4" s="18">
        <v>300</v>
      </c>
      <c r="F4" s="19">
        <v>7.3333000000000004</v>
      </c>
      <c r="G4" s="6">
        <v>-275</v>
      </c>
      <c r="H4" s="5">
        <v>1925</v>
      </c>
      <c r="I4" s="5" t="s">
        <v>43</v>
      </c>
    </row>
    <row r="5" spans="1:9">
      <c r="A5" s="4" t="s">
        <v>41</v>
      </c>
      <c r="B5" s="5" t="s">
        <v>26</v>
      </c>
      <c r="C5" s="5" t="s">
        <v>44</v>
      </c>
      <c r="D5" s="18">
        <v>740</v>
      </c>
      <c r="E5" s="18">
        <v>450</v>
      </c>
      <c r="F5" s="19">
        <v>1.6444000000000001</v>
      </c>
      <c r="G5" s="6">
        <v>-118</v>
      </c>
      <c r="H5" s="5">
        <v>622</v>
      </c>
      <c r="I5" s="5" t="s">
        <v>45</v>
      </c>
    </row>
    <row r="6" spans="1:9">
      <c r="B6" s="7" t="s">
        <v>46</v>
      </c>
      <c r="D6" s="20">
        <f>SUM(D4:D5)</f>
        <v>2940</v>
      </c>
      <c r="F6" s="21">
        <f>SUM(F4:F5)</f>
        <v>8.9777000000000005</v>
      </c>
      <c r="G6" s="8" t="str">
        <f>TEXT(F6/9,"0%")&amp;" de las 9 h del turno"</f>
        <v>100% de las 9 h del turno</v>
      </c>
    </row>
    <row r="8" spans="1:9">
      <c r="A8" s="4" t="s">
        <v>47</v>
      </c>
      <c r="B8" s="5" t="s">
        <v>32</v>
      </c>
      <c r="C8" s="5" t="s">
        <v>48</v>
      </c>
      <c r="D8" s="18">
        <v>1940</v>
      </c>
      <c r="E8" s="18">
        <v>300</v>
      </c>
      <c r="F8" s="19">
        <v>6.4667000000000003</v>
      </c>
      <c r="G8" s="6">
        <v>-626</v>
      </c>
      <c r="H8" s="5">
        <v>1314</v>
      </c>
      <c r="I8" s="5" t="s">
        <v>49</v>
      </c>
    </row>
    <row r="9" spans="1:9">
      <c r="A9" s="4" t="s">
        <v>47</v>
      </c>
      <c r="B9" s="5" t="s">
        <v>32</v>
      </c>
      <c r="C9" s="5" t="s">
        <v>50</v>
      </c>
      <c r="D9" s="18">
        <v>680</v>
      </c>
      <c r="E9" s="18">
        <v>276</v>
      </c>
      <c r="F9" s="19">
        <v>2.4638</v>
      </c>
      <c r="G9" s="6">
        <v>-569</v>
      </c>
      <c r="H9" s="5">
        <v>111</v>
      </c>
      <c r="I9" s="5" t="s">
        <v>43</v>
      </c>
    </row>
    <row r="10" spans="1:9">
      <c r="B10" s="7" t="s">
        <v>51</v>
      </c>
      <c r="D10" s="20">
        <f>SUM(D8:D9)</f>
        <v>2620</v>
      </c>
      <c r="F10" s="21">
        <f>SUM(F8:F9)</f>
        <v>8.9305000000000003</v>
      </c>
      <c r="G10" s="8" t="str">
        <f>TEXT(F10/9,"0%")&amp;" de las 9 h del turno"</f>
        <v>99% de las 9 h del turno</v>
      </c>
    </row>
    <row r="12" spans="1:9">
      <c r="A12" s="4" t="s">
        <v>52</v>
      </c>
      <c r="B12" s="5" t="s">
        <v>27</v>
      </c>
      <c r="C12" s="5" t="s">
        <v>53</v>
      </c>
      <c r="D12" s="18">
        <v>380</v>
      </c>
      <c r="E12" s="18">
        <v>150</v>
      </c>
      <c r="F12" s="19">
        <v>2.5333000000000001</v>
      </c>
      <c r="G12" s="6">
        <v>-123</v>
      </c>
      <c r="H12" s="5">
        <v>257</v>
      </c>
      <c r="I12" s="5" t="s">
        <v>49</v>
      </c>
    </row>
    <row r="13" spans="1:9">
      <c r="A13" s="4" t="s">
        <v>52</v>
      </c>
      <c r="B13" s="5" t="s">
        <v>28</v>
      </c>
      <c r="C13" s="5" t="s">
        <v>54</v>
      </c>
      <c r="D13" s="18">
        <v>160</v>
      </c>
      <c r="E13" s="18">
        <v>257</v>
      </c>
      <c r="F13" s="19">
        <v>0.62260000000000004</v>
      </c>
      <c r="G13" s="6">
        <v>-7</v>
      </c>
      <c r="H13" s="5">
        <v>153</v>
      </c>
      <c r="I13" s="5" t="s">
        <v>49</v>
      </c>
    </row>
    <row r="14" spans="1:9">
      <c r="A14" s="4" t="s">
        <v>52</v>
      </c>
      <c r="B14" s="5" t="s">
        <v>28</v>
      </c>
      <c r="C14" s="5" t="s">
        <v>55</v>
      </c>
      <c r="D14" s="18">
        <v>360</v>
      </c>
      <c r="E14" s="18">
        <v>257</v>
      </c>
      <c r="F14" s="19">
        <v>1.4008</v>
      </c>
      <c r="G14" s="6">
        <v>-259</v>
      </c>
      <c r="H14" s="5">
        <v>101</v>
      </c>
      <c r="I14" s="5" t="s">
        <v>43</v>
      </c>
    </row>
    <row r="15" spans="1:9">
      <c r="A15" s="4" t="s">
        <v>52</v>
      </c>
      <c r="B15" s="5" t="s">
        <v>28</v>
      </c>
      <c r="C15" s="5" t="s">
        <v>56</v>
      </c>
      <c r="D15" s="18">
        <v>100</v>
      </c>
      <c r="E15" s="18">
        <v>257</v>
      </c>
      <c r="F15" s="19">
        <v>0.3891</v>
      </c>
      <c r="G15" s="6">
        <v>-25</v>
      </c>
      <c r="H15" s="5">
        <v>75</v>
      </c>
      <c r="I15" s="5" t="s">
        <v>43</v>
      </c>
    </row>
    <row r="16" spans="1:9">
      <c r="A16" s="4" t="s">
        <v>52</v>
      </c>
      <c r="B16" s="5" t="s">
        <v>28</v>
      </c>
      <c r="C16" s="5" t="s">
        <v>57</v>
      </c>
      <c r="D16" s="18">
        <v>330</v>
      </c>
      <c r="E16" s="18">
        <v>276</v>
      </c>
      <c r="F16" s="19">
        <v>1.1957</v>
      </c>
      <c r="G16" s="6">
        <v>-214</v>
      </c>
      <c r="H16" s="5">
        <v>116</v>
      </c>
      <c r="I16" s="5" t="s">
        <v>43</v>
      </c>
    </row>
    <row r="17" spans="1:9">
      <c r="B17" s="7" t="s">
        <v>58</v>
      </c>
      <c r="D17" s="20">
        <f>SUM(D12:D16)</f>
        <v>1330</v>
      </c>
      <c r="F17" s="21">
        <f>SUM(F12:F16)</f>
        <v>6.1415000000000006</v>
      </c>
      <c r="G17" s="8" t="str">
        <f>TEXT(F17/9,"0%")&amp;" de las 9 h del turno"</f>
        <v>68% de las 9 h del turno</v>
      </c>
    </row>
    <row r="19" spans="1:9">
      <c r="A19" s="4" t="s">
        <v>59</v>
      </c>
      <c r="B19" s="5" t="s">
        <v>29</v>
      </c>
      <c r="C19" s="5" t="s">
        <v>60</v>
      </c>
      <c r="D19" s="18">
        <v>820</v>
      </c>
      <c r="E19" s="18">
        <v>240</v>
      </c>
      <c r="F19" s="19">
        <v>3.4167000000000001</v>
      </c>
      <c r="G19" s="6">
        <v>-681</v>
      </c>
      <c r="H19" s="5">
        <v>139</v>
      </c>
      <c r="I19" s="5" t="s">
        <v>43</v>
      </c>
    </row>
    <row r="20" spans="1:9">
      <c r="A20" s="4" t="s">
        <v>59</v>
      </c>
      <c r="B20" s="5" t="s">
        <v>30</v>
      </c>
      <c r="C20" s="5" t="s">
        <v>61</v>
      </c>
      <c r="D20" s="18">
        <v>230</v>
      </c>
      <c r="E20" s="18">
        <v>240</v>
      </c>
      <c r="F20" s="19">
        <v>0.95830000000000004</v>
      </c>
      <c r="G20" s="6">
        <v>-144</v>
      </c>
      <c r="H20" s="5">
        <v>86</v>
      </c>
      <c r="I20" s="5" t="s">
        <v>43</v>
      </c>
    </row>
    <row r="21" spans="1:9">
      <c r="A21" s="4" t="s">
        <v>59</v>
      </c>
      <c r="B21" s="5" t="s">
        <v>30</v>
      </c>
      <c r="C21" s="5" t="s">
        <v>62</v>
      </c>
      <c r="D21" s="18">
        <v>170</v>
      </c>
      <c r="E21" s="18">
        <v>240</v>
      </c>
      <c r="F21" s="19">
        <v>0.70830000000000004</v>
      </c>
      <c r="G21" s="6">
        <v>-94</v>
      </c>
      <c r="H21" s="5">
        <v>76</v>
      </c>
      <c r="I21" s="5" t="s">
        <v>43</v>
      </c>
    </row>
    <row r="22" spans="1:9">
      <c r="A22" s="4" t="s">
        <v>59</v>
      </c>
      <c r="B22" s="5" t="s">
        <v>30</v>
      </c>
      <c r="C22" s="5" t="s">
        <v>63</v>
      </c>
      <c r="D22" s="18">
        <v>90</v>
      </c>
      <c r="E22" s="18">
        <v>240</v>
      </c>
      <c r="F22" s="19">
        <v>0.375</v>
      </c>
      <c r="G22" s="6">
        <v>-16</v>
      </c>
      <c r="H22" s="5">
        <v>74</v>
      </c>
      <c r="I22" s="5" t="s">
        <v>43</v>
      </c>
    </row>
    <row r="23" spans="1:9">
      <c r="A23" s="4" t="s">
        <v>59</v>
      </c>
      <c r="B23" s="5" t="s">
        <v>31</v>
      </c>
      <c r="C23" s="5" t="s">
        <v>64</v>
      </c>
      <c r="D23" s="18">
        <v>80</v>
      </c>
      <c r="E23" s="18">
        <v>257</v>
      </c>
      <c r="F23" s="19">
        <v>0.31130000000000002</v>
      </c>
      <c r="G23" s="6">
        <v>-1</v>
      </c>
      <c r="H23" s="5">
        <v>79</v>
      </c>
      <c r="I23" s="5" t="s">
        <v>11</v>
      </c>
    </row>
    <row r="24" spans="1:9">
      <c r="A24" s="4" t="s">
        <v>59</v>
      </c>
      <c r="B24" s="5" t="s">
        <v>31</v>
      </c>
      <c r="C24" s="5" t="s">
        <v>65</v>
      </c>
      <c r="D24" s="18">
        <v>120</v>
      </c>
      <c r="E24" s="18">
        <v>257</v>
      </c>
      <c r="F24" s="19">
        <v>0.46689999999999998</v>
      </c>
      <c r="G24" s="6">
        <v>-39</v>
      </c>
      <c r="H24" s="5">
        <v>81</v>
      </c>
      <c r="I24" s="5" t="s">
        <v>43</v>
      </c>
    </row>
    <row r="25" spans="1:9">
      <c r="A25" s="4" t="s">
        <v>59</v>
      </c>
      <c r="B25" s="5" t="s">
        <v>31</v>
      </c>
      <c r="C25" s="5" t="s">
        <v>66</v>
      </c>
      <c r="D25" s="18">
        <v>80</v>
      </c>
      <c r="E25" s="18">
        <v>257</v>
      </c>
      <c r="F25" s="19">
        <v>0.31130000000000002</v>
      </c>
      <c r="G25" s="6">
        <v>-1</v>
      </c>
      <c r="H25" s="5">
        <v>79</v>
      </c>
      <c r="I25" s="5" t="s">
        <v>43</v>
      </c>
    </row>
    <row r="26" spans="1:9">
      <c r="A26" s="4" t="s">
        <v>59</v>
      </c>
      <c r="B26" s="5" t="s">
        <v>31</v>
      </c>
      <c r="C26" s="5" t="s">
        <v>67</v>
      </c>
      <c r="D26" s="18">
        <v>140</v>
      </c>
      <c r="E26" s="18">
        <v>225</v>
      </c>
      <c r="F26" s="19">
        <v>0.62219999999999998</v>
      </c>
      <c r="G26" s="6">
        <v>-56</v>
      </c>
      <c r="H26" s="5">
        <v>84</v>
      </c>
      <c r="I26" s="5" t="s">
        <v>49</v>
      </c>
    </row>
    <row r="27" spans="1:9">
      <c r="A27" s="4" t="s">
        <v>59</v>
      </c>
      <c r="B27" s="5" t="s">
        <v>31</v>
      </c>
      <c r="C27" s="5" t="s">
        <v>68</v>
      </c>
      <c r="D27" s="18">
        <v>240</v>
      </c>
      <c r="E27" s="18">
        <v>257</v>
      </c>
      <c r="F27" s="19">
        <v>0.93389999999999995</v>
      </c>
      <c r="G27" s="6">
        <v>-141</v>
      </c>
      <c r="H27" s="5">
        <v>99</v>
      </c>
      <c r="I27" s="5" t="s">
        <v>43</v>
      </c>
    </row>
    <row r="28" spans="1:9">
      <c r="B28" s="7" t="s">
        <v>69</v>
      </c>
      <c r="D28" s="20">
        <f>SUM(D19:D27)</f>
        <v>1970</v>
      </c>
      <c r="F28" s="21">
        <f>SUM(F19:F27)</f>
        <v>8.1039000000000012</v>
      </c>
      <c r="G28" s="8" t="str">
        <f>TEXT(F28/9,"0%")&amp;" de las 9 h del turno"</f>
        <v>90% de las 9 h del turno</v>
      </c>
    </row>
    <row r="30" spans="1:9" ht="17.25">
      <c r="B30" s="9" t="s">
        <v>70</v>
      </c>
      <c r="D30" s="22">
        <f>D6+D10+D17+D28</f>
        <v>8860</v>
      </c>
      <c r="F30" s="23">
        <f>F6+F10+F17+F28</f>
        <v>32.153600000000004</v>
      </c>
      <c r="G30" s="10" t="s">
        <v>71</v>
      </c>
    </row>
    <row r="32" spans="1:9">
      <c r="A32" s="30" t="s">
        <v>72</v>
      </c>
      <c r="B32" s="28"/>
      <c r="C32" s="28"/>
      <c r="D32" s="28"/>
      <c r="E32" s="28"/>
      <c r="F32" s="28"/>
      <c r="G32" s="28"/>
      <c r="H32" s="28"/>
      <c r="I32" s="28"/>
    </row>
  </sheetData>
  <mergeCells count="2">
    <mergeCell ref="A1:I1"/>
    <mergeCell ref="A32:I32"/>
  </mergeCells>
  <phoneticPr fontId="11" type="noConversion"/>
  <pageMargins left="0.35" right="0.35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7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6.5"/>
  <cols>
    <col min="1" max="1" width="3" customWidth="1"/>
    <col min="2" max="2" width="14" customWidth="1"/>
    <col min="3" max="4" width="12" customWidth="1"/>
    <col min="5" max="5" width="14" customWidth="1"/>
    <col min="6" max="6" width="46" customWidth="1"/>
    <col min="7" max="7" width="3" customWidth="1"/>
  </cols>
  <sheetData>
    <row r="1" spans="1:7" ht="30" customHeight="1">
      <c r="A1" s="29" t="s">
        <v>73</v>
      </c>
      <c r="B1" s="28"/>
      <c r="C1" s="28"/>
      <c r="D1" s="28"/>
      <c r="E1" s="28"/>
      <c r="F1" s="28"/>
      <c r="G1" s="28"/>
    </row>
    <row r="3" spans="1:7" ht="17.25">
      <c r="B3" s="1" t="s">
        <v>21</v>
      </c>
    </row>
    <row r="4" spans="1:7">
      <c r="B4" s="2" t="s">
        <v>22</v>
      </c>
      <c r="C4" s="2" t="s">
        <v>74</v>
      </c>
      <c r="D4" s="2" t="s">
        <v>23</v>
      </c>
      <c r="E4" s="2" t="s">
        <v>25</v>
      </c>
      <c r="F4" s="2" t="s">
        <v>75</v>
      </c>
    </row>
    <row r="5" spans="1:7">
      <c r="B5" s="11" t="s">
        <v>26</v>
      </c>
      <c r="C5" s="16">
        <v>2940</v>
      </c>
      <c r="D5" s="11">
        <v>2</v>
      </c>
      <c r="E5" s="17">
        <v>8.98</v>
      </c>
      <c r="F5" s="12" t="s">
        <v>76</v>
      </c>
    </row>
    <row r="6" spans="1:7">
      <c r="B6" s="11" t="s">
        <v>27</v>
      </c>
      <c r="C6" s="16">
        <v>380</v>
      </c>
      <c r="D6" s="11">
        <v>1</v>
      </c>
      <c r="E6" s="17">
        <v>2.5299999999999998</v>
      </c>
      <c r="F6" s="12" t="s">
        <v>76</v>
      </c>
    </row>
    <row r="7" spans="1:7">
      <c r="B7" s="11" t="s">
        <v>28</v>
      </c>
      <c r="C7" s="16">
        <v>950</v>
      </c>
      <c r="D7" s="11">
        <v>4</v>
      </c>
      <c r="E7" s="17">
        <v>3.61</v>
      </c>
      <c r="F7" s="12" t="s">
        <v>76</v>
      </c>
    </row>
    <row r="8" spans="1:7">
      <c r="B8" s="11" t="s">
        <v>29</v>
      </c>
      <c r="C8" s="16">
        <v>820</v>
      </c>
      <c r="D8" s="11">
        <v>1</v>
      </c>
      <c r="E8" s="17">
        <v>3.42</v>
      </c>
      <c r="F8" s="12" t="s">
        <v>76</v>
      </c>
    </row>
    <row r="9" spans="1:7">
      <c r="B9" s="11" t="s">
        <v>30</v>
      </c>
      <c r="C9" s="16">
        <v>490</v>
      </c>
      <c r="D9" s="11">
        <v>3</v>
      </c>
      <c r="E9" s="17">
        <v>2.04</v>
      </c>
      <c r="F9" s="12" t="s">
        <v>76</v>
      </c>
    </row>
    <row r="10" spans="1:7">
      <c r="B10" s="11" t="s">
        <v>31</v>
      </c>
      <c r="C10" s="16">
        <v>660</v>
      </c>
      <c r="D10" s="11">
        <v>5</v>
      </c>
      <c r="E10" s="17">
        <v>2.65</v>
      </c>
      <c r="F10" s="12" t="s">
        <v>76</v>
      </c>
    </row>
    <row r="11" spans="1:7">
      <c r="B11" s="11" t="s">
        <v>32</v>
      </c>
      <c r="C11" s="16">
        <v>2620</v>
      </c>
      <c r="D11" s="11">
        <v>2</v>
      </c>
      <c r="E11" s="17">
        <v>8.93</v>
      </c>
      <c r="F11" s="12" t="s">
        <v>76</v>
      </c>
    </row>
    <row r="14" spans="1:7" ht="17.25">
      <c r="B14" s="1" t="s">
        <v>77</v>
      </c>
    </row>
    <row r="15" spans="1:7">
      <c r="B15" s="27" t="s">
        <v>78</v>
      </c>
      <c r="C15" s="28"/>
      <c r="D15" s="28"/>
      <c r="E15" s="28"/>
      <c r="F15" s="28"/>
    </row>
    <row r="16" spans="1:7">
      <c r="B16" s="28"/>
      <c r="C16" s="28"/>
      <c r="D16" s="28"/>
      <c r="E16" s="28"/>
      <c r="F16" s="28"/>
    </row>
    <row r="17" spans="2:6">
      <c r="B17" s="28"/>
      <c r="C17" s="28"/>
      <c r="D17" s="28"/>
      <c r="E17" s="28"/>
      <c r="F17" s="28"/>
    </row>
  </sheetData>
  <mergeCells count="2">
    <mergeCell ref="B15:F17"/>
    <mergeCell ref="A1:G1"/>
  </mergeCells>
  <phoneticPr fontId="11" type="noConversion"/>
  <pageMargins left="0.35" right="0.35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0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6.5"/>
  <cols>
    <col min="1" max="1" width="3" customWidth="1"/>
    <col min="2" max="2" width="5" customWidth="1"/>
    <col min="3" max="3" width="30" customWidth="1"/>
    <col min="4" max="4" width="88" customWidth="1"/>
    <col min="5" max="5" width="3" customWidth="1"/>
  </cols>
  <sheetData>
    <row r="1" spans="1:5" ht="30" customHeight="1">
      <c r="A1" s="29" t="s">
        <v>79</v>
      </c>
      <c r="B1" s="28"/>
      <c r="C1" s="28"/>
      <c r="D1" s="28"/>
      <c r="E1" s="28"/>
    </row>
    <row r="3" spans="1:5" ht="56.1" customHeight="1">
      <c r="B3" s="13" t="s">
        <v>80</v>
      </c>
      <c r="C3" s="4" t="s">
        <v>81</v>
      </c>
      <c r="D3" s="3" t="s">
        <v>82</v>
      </c>
    </row>
    <row r="4" spans="1:5" ht="56.1" customHeight="1">
      <c r="B4" s="13" t="s">
        <v>83</v>
      </c>
      <c r="C4" s="4" t="s">
        <v>84</v>
      </c>
      <c r="D4" s="3" t="s">
        <v>85</v>
      </c>
    </row>
    <row r="5" spans="1:5" ht="56.1" customHeight="1">
      <c r="B5" s="13" t="s">
        <v>86</v>
      </c>
      <c r="C5" s="4" t="s">
        <v>87</v>
      </c>
      <c r="D5" s="3" t="s">
        <v>88</v>
      </c>
    </row>
    <row r="6" spans="1:5" ht="56.1" customHeight="1">
      <c r="B6" s="13" t="s">
        <v>89</v>
      </c>
      <c r="C6" s="4" t="s">
        <v>24</v>
      </c>
      <c r="D6" s="3" t="s">
        <v>90</v>
      </c>
    </row>
    <row r="7" spans="1:5" ht="56.1" customHeight="1">
      <c r="B7" s="13" t="s">
        <v>91</v>
      </c>
      <c r="C7" s="4" t="s">
        <v>22</v>
      </c>
      <c r="D7" s="3" t="s">
        <v>92</v>
      </c>
    </row>
    <row r="8" spans="1:5" ht="56.1" customHeight="1">
      <c r="B8" s="13" t="s">
        <v>93</v>
      </c>
      <c r="C8" s="4" t="s">
        <v>94</v>
      </c>
      <c r="D8" s="3" t="s">
        <v>95</v>
      </c>
    </row>
    <row r="9" spans="1:5" ht="56.1" customHeight="1">
      <c r="B9" s="13" t="s">
        <v>96</v>
      </c>
      <c r="C9" s="4" t="s">
        <v>97</v>
      </c>
      <c r="D9" s="3" t="s">
        <v>98</v>
      </c>
    </row>
    <row r="10" spans="1:5" ht="56.1" customHeight="1">
      <c r="B10" s="13" t="s">
        <v>99</v>
      </c>
      <c r="C10" s="4" t="s">
        <v>100</v>
      </c>
      <c r="D10" s="3" t="s">
        <v>101</v>
      </c>
    </row>
  </sheetData>
  <mergeCells count="1">
    <mergeCell ref="A1:E1"/>
  </mergeCells>
  <phoneticPr fontId="11" type="noConversion"/>
  <pageMargins left="0.35" right="0.35" top="0.5" bottom="0.5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0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6.5"/>
  <cols>
    <col min="1" max="1" width="3" customWidth="1"/>
    <col min="2" max="2" width="46" customWidth="1"/>
    <col min="3" max="3" width="12" customWidth="1"/>
    <col min="4" max="4" width="62" customWidth="1"/>
  </cols>
  <sheetData>
    <row r="1" spans="1:4" ht="30" customHeight="1">
      <c r="A1" s="29" t="s">
        <v>102</v>
      </c>
      <c r="B1" s="28"/>
      <c r="C1" s="28"/>
      <c r="D1" s="28"/>
    </row>
    <row r="3" spans="1:4">
      <c r="B3" s="2" t="s">
        <v>103</v>
      </c>
      <c r="C3" s="2" t="s">
        <v>104</v>
      </c>
      <c r="D3" s="2" t="s">
        <v>105</v>
      </c>
    </row>
    <row r="4" spans="1:4">
      <c r="B4" s="5" t="s">
        <v>106</v>
      </c>
      <c r="C4" s="5">
        <v>9</v>
      </c>
      <c r="D4" s="5" t="s">
        <v>107</v>
      </c>
    </row>
    <row r="5" spans="1:4">
      <c r="B5" s="5" t="s">
        <v>108</v>
      </c>
      <c r="C5" s="5">
        <v>2</v>
      </c>
      <c r="D5" s="5" t="s">
        <v>109</v>
      </c>
    </row>
    <row r="8" spans="1:4">
      <c r="B8" s="31" t="s">
        <v>110</v>
      </c>
      <c r="C8" s="28"/>
      <c r="D8" s="28"/>
    </row>
    <row r="9" spans="1:4">
      <c r="B9" s="28"/>
      <c r="C9" s="28"/>
      <c r="D9" s="28"/>
    </row>
    <row r="10" spans="1:4">
      <c r="B10" s="28"/>
      <c r="C10" s="28"/>
      <c r="D10" s="28"/>
    </row>
  </sheetData>
  <mergeCells count="2">
    <mergeCell ref="B8:D10"/>
    <mergeCell ref="A1:D1"/>
  </mergeCells>
  <phoneticPr fontId="11" type="noConversion"/>
  <pageMargins left="0.35" right="0.35" top="0.5" bottom="0.5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6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6.5"/>
  <cols>
    <col min="1" max="1" width="16" customWidth="1"/>
    <col min="2" max="2" width="7" customWidth="1"/>
    <col min="3" max="12" width="10" customWidth="1"/>
  </cols>
  <sheetData>
    <row r="1" spans="1:12" ht="30" customHeight="1">
      <c r="A1" s="29" t="s">
        <v>111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ht="33">
      <c r="A3" s="2" t="s">
        <v>36</v>
      </c>
      <c r="B3" s="2" t="s">
        <v>22</v>
      </c>
      <c r="C3" s="2" t="s">
        <v>112</v>
      </c>
      <c r="D3" s="14" t="s">
        <v>113</v>
      </c>
      <c r="E3" s="14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14" t="s">
        <v>120</v>
      </c>
      <c r="L3" s="14" t="s">
        <v>121</v>
      </c>
    </row>
    <row r="4" spans="1:12">
      <c r="A4" s="5" t="s">
        <v>57</v>
      </c>
      <c r="B4" s="4" t="s">
        <v>28</v>
      </c>
      <c r="C4" s="16">
        <v>330</v>
      </c>
      <c r="D4" s="24"/>
      <c r="E4" s="24"/>
      <c r="F4" s="16"/>
      <c r="G4" s="16"/>
      <c r="H4" s="16"/>
      <c r="I4" s="16"/>
      <c r="J4" s="16"/>
      <c r="K4" s="24"/>
      <c r="L4" s="24"/>
    </row>
    <row r="5" spans="1:12">
      <c r="A5" s="5" t="s">
        <v>54</v>
      </c>
      <c r="B5" s="4" t="s">
        <v>28</v>
      </c>
      <c r="C5" s="16">
        <v>160</v>
      </c>
      <c r="D5" s="24"/>
      <c r="E5" s="24"/>
      <c r="F5" s="16"/>
      <c r="G5" s="16"/>
      <c r="H5" s="16"/>
      <c r="I5" s="16"/>
      <c r="J5" s="16"/>
      <c r="K5" s="24"/>
      <c r="L5" s="24"/>
    </row>
    <row r="6" spans="1:12">
      <c r="A6" s="5" t="s">
        <v>55</v>
      </c>
      <c r="B6" s="4" t="s">
        <v>28</v>
      </c>
      <c r="C6" s="16">
        <v>360</v>
      </c>
      <c r="D6" s="24"/>
      <c r="E6" s="24"/>
      <c r="F6" s="16"/>
      <c r="G6" s="16"/>
      <c r="H6" s="16"/>
      <c r="I6" s="16"/>
      <c r="J6" s="16"/>
      <c r="K6" s="24"/>
      <c r="L6" s="24"/>
    </row>
    <row r="7" spans="1:12">
      <c r="A7" s="5" t="s">
        <v>56</v>
      </c>
      <c r="B7" s="4" t="s">
        <v>28</v>
      </c>
      <c r="C7" s="16">
        <v>100</v>
      </c>
      <c r="D7" s="24"/>
      <c r="E7" s="24"/>
      <c r="F7" s="16"/>
      <c r="G7" s="16"/>
      <c r="H7" s="16"/>
      <c r="I7" s="16"/>
      <c r="J7" s="16"/>
      <c r="K7" s="24"/>
      <c r="L7" s="24"/>
    </row>
    <row r="8" spans="1:12">
      <c r="A8" s="5" t="s">
        <v>53</v>
      </c>
      <c r="B8" s="4" t="s">
        <v>27</v>
      </c>
      <c r="C8" s="16">
        <v>380</v>
      </c>
      <c r="D8" s="24"/>
      <c r="E8" s="24"/>
      <c r="F8" s="16"/>
      <c r="G8" s="16"/>
      <c r="H8" s="16"/>
      <c r="I8" s="16"/>
      <c r="J8" s="16"/>
      <c r="K8" s="24"/>
      <c r="L8" s="24"/>
    </row>
    <row r="9" spans="1:12">
      <c r="A9" s="5" t="s">
        <v>44</v>
      </c>
      <c r="B9" s="4" t="s">
        <v>26</v>
      </c>
      <c r="C9" s="16">
        <v>740</v>
      </c>
      <c r="D9" s="24"/>
      <c r="E9" s="24"/>
      <c r="F9" s="16"/>
      <c r="G9" s="16"/>
      <c r="H9" s="16"/>
      <c r="I9" s="16"/>
      <c r="J9" s="16"/>
      <c r="K9" s="24"/>
      <c r="L9" s="24"/>
    </row>
    <row r="10" spans="1:12">
      <c r="A10" s="5" t="s">
        <v>60</v>
      </c>
      <c r="B10" s="4" t="s">
        <v>29</v>
      </c>
      <c r="C10" s="16">
        <v>820</v>
      </c>
      <c r="D10" s="24"/>
      <c r="E10" s="24"/>
      <c r="F10" s="16"/>
      <c r="G10" s="16"/>
      <c r="H10" s="16"/>
      <c r="I10" s="16"/>
      <c r="J10" s="16"/>
      <c r="K10" s="24"/>
      <c r="L10" s="24"/>
    </row>
    <row r="11" spans="1:12">
      <c r="A11" s="5" t="s">
        <v>65</v>
      </c>
      <c r="B11" s="4" t="s">
        <v>31</v>
      </c>
      <c r="C11" s="16">
        <v>120</v>
      </c>
      <c r="D11" s="24"/>
      <c r="E11" s="24"/>
      <c r="F11" s="16"/>
      <c r="G11" s="16"/>
      <c r="H11" s="16"/>
      <c r="I11" s="16"/>
      <c r="J11" s="16"/>
      <c r="K11" s="24"/>
      <c r="L11" s="24"/>
    </row>
    <row r="12" spans="1:12">
      <c r="A12" s="5" t="s">
        <v>64</v>
      </c>
      <c r="B12" s="4" t="s">
        <v>31</v>
      </c>
      <c r="C12" s="16">
        <v>80</v>
      </c>
      <c r="D12" s="24"/>
      <c r="E12" s="24"/>
      <c r="F12" s="16"/>
      <c r="G12" s="16"/>
      <c r="H12" s="16"/>
      <c r="I12" s="16"/>
      <c r="J12" s="16"/>
      <c r="K12" s="24"/>
      <c r="L12" s="24"/>
    </row>
    <row r="13" spans="1:12">
      <c r="A13" s="5" t="s">
        <v>66</v>
      </c>
      <c r="B13" s="4" t="s">
        <v>31</v>
      </c>
      <c r="C13" s="16">
        <v>80</v>
      </c>
      <c r="D13" s="24"/>
      <c r="E13" s="24"/>
      <c r="F13" s="16"/>
      <c r="G13" s="16"/>
      <c r="H13" s="16"/>
      <c r="I13" s="16"/>
      <c r="J13" s="16"/>
      <c r="K13" s="24"/>
      <c r="L13" s="24"/>
    </row>
    <row r="14" spans="1:12">
      <c r="A14" s="5" t="s">
        <v>50</v>
      </c>
      <c r="B14" s="4" t="s">
        <v>32</v>
      </c>
      <c r="C14" s="16">
        <v>680</v>
      </c>
      <c r="D14" s="24"/>
      <c r="E14" s="24"/>
      <c r="F14" s="16"/>
      <c r="G14" s="16"/>
      <c r="H14" s="16"/>
      <c r="I14" s="16"/>
      <c r="J14" s="16"/>
      <c r="K14" s="24"/>
      <c r="L14" s="24"/>
    </row>
    <row r="15" spans="1:12">
      <c r="A15" s="5" t="s">
        <v>63</v>
      </c>
      <c r="B15" s="4" t="s">
        <v>30</v>
      </c>
      <c r="C15" s="16">
        <v>90</v>
      </c>
      <c r="D15" s="24"/>
      <c r="E15" s="24"/>
      <c r="F15" s="16"/>
      <c r="G15" s="16"/>
      <c r="H15" s="16"/>
      <c r="I15" s="16"/>
      <c r="J15" s="16"/>
      <c r="K15" s="24"/>
      <c r="L15" s="24"/>
    </row>
    <row r="16" spans="1:12">
      <c r="A16" s="5" t="s">
        <v>62</v>
      </c>
      <c r="B16" s="4" t="s">
        <v>30</v>
      </c>
      <c r="C16" s="16">
        <v>170</v>
      </c>
      <c r="D16" s="24"/>
      <c r="E16" s="24"/>
      <c r="F16" s="16"/>
      <c r="G16" s="16"/>
      <c r="H16" s="16"/>
      <c r="I16" s="16"/>
      <c r="J16" s="16"/>
      <c r="K16" s="24"/>
      <c r="L16" s="24"/>
    </row>
    <row r="17" spans="1:12">
      <c r="A17" s="5" t="s">
        <v>61</v>
      </c>
      <c r="B17" s="4" t="s">
        <v>30</v>
      </c>
      <c r="C17" s="16">
        <v>230</v>
      </c>
      <c r="D17" s="24"/>
      <c r="E17" s="24"/>
      <c r="F17" s="16"/>
      <c r="G17" s="16"/>
      <c r="H17" s="16"/>
      <c r="I17" s="16"/>
      <c r="J17" s="16"/>
      <c r="K17" s="24"/>
      <c r="L17" s="24"/>
    </row>
    <row r="18" spans="1:12">
      <c r="A18" s="5" t="s">
        <v>42</v>
      </c>
      <c r="B18" s="4" t="s">
        <v>26</v>
      </c>
      <c r="C18" s="16">
        <v>2200</v>
      </c>
      <c r="D18" s="24"/>
      <c r="E18" s="24"/>
      <c r="F18" s="16"/>
      <c r="G18" s="16"/>
      <c r="H18" s="16"/>
      <c r="I18" s="16"/>
      <c r="J18" s="16"/>
      <c r="K18" s="24"/>
      <c r="L18" s="24"/>
    </row>
    <row r="19" spans="1:12">
      <c r="A19" s="5" t="s">
        <v>48</v>
      </c>
      <c r="B19" s="4" t="s">
        <v>32</v>
      </c>
      <c r="C19" s="16">
        <v>1940</v>
      </c>
      <c r="D19" s="24"/>
      <c r="E19" s="24"/>
      <c r="F19" s="16"/>
      <c r="G19" s="16"/>
      <c r="H19" s="16"/>
      <c r="I19" s="16"/>
      <c r="J19" s="16"/>
      <c r="K19" s="24"/>
      <c r="L19" s="24"/>
    </row>
    <row r="20" spans="1:12">
      <c r="A20" s="5" t="s">
        <v>68</v>
      </c>
      <c r="B20" s="4" t="s">
        <v>31</v>
      </c>
      <c r="C20" s="16">
        <v>240</v>
      </c>
      <c r="D20" s="24"/>
      <c r="E20" s="24"/>
      <c r="F20" s="16"/>
      <c r="G20" s="16"/>
      <c r="H20" s="16"/>
      <c r="I20" s="16"/>
      <c r="J20" s="16"/>
      <c r="K20" s="24"/>
      <c r="L20" s="24"/>
    </row>
    <row r="21" spans="1:12">
      <c r="A21" s="5" t="s">
        <v>67</v>
      </c>
      <c r="B21" s="4" t="s">
        <v>31</v>
      </c>
      <c r="C21" s="16">
        <v>140</v>
      </c>
      <c r="D21" s="24"/>
      <c r="E21" s="24"/>
      <c r="F21" s="16"/>
      <c r="G21" s="16"/>
      <c r="H21" s="16"/>
      <c r="I21" s="16"/>
      <c r="J21" s="16"/>
      <c r="K21" s="24"/>
      <c r="L21" s="24"/>
    </row>
    <row r="22" spans="1:12">
      <c r="A22" s="15" t="s">
        <v>122</v>
      </c>
      <c r="C22" s="25">
        <f t="shared" ref="C22:L22" si="0">SUM(C4:C21)</f>
        <v>8860</v>
      </c>
      <c r="D22" s="25">
        <f t="shared" si="0"/>
        <v>0</v>
      </c>
      <c r="E22" s="25">
        <f t="shared" si="0"/>
        <v>0</v>
      </c>
      <c r="F22" s="25">
        <f t="shared" si="0"/>
        <v>0</v>
      </c>
      <c r="G22" s="25">
        <f t="shared" si="0"/>
        <v>0</v>
      </c>
      <c r="H22" s="25">
        <f t="shared" si="0"/>
        <v>0</v>
      </c>
      <c r="I22" s="25">
        <f t="shared" si="0"/>
        <v>0</v>
      </c>
      <c r="J22" s="25">
        <f t="shared" si="0"/>
        <v>0</v>
      </c>
      <c r="K22" s="25">
        <f t="shared" si="0"/>
        <v>0</v>
      </c>
      <c r="L22" s="25">
        <f t="shared" si="0"/>
        <v>0</v>
      </c>
    </row>
    <row r="24" spans="1:12" ht="17.25">
      <c r="A24" s="1" t="s">
        <v>123</v>
      </c>
    </row>
    <row r="25" spans="1:12" ht="33">
      <c r="A25" s="2" t="s">
        <v>22</v>
      </c>
      <c r="C25" s="2" t="s">
        <v>112</v>
      </c>
      <c r="D25" s="14" t="s">
        <v>113</v>
      </c>
      <c r="E25" s="14" t="s">
        <v>114</v>
      </c>
      <c r="F25" s="2" t="s">
        <v>115</v>
      </c>
      <c r="G25" s="2" t="s">
        <v>116</v>
      </c>
      <c r="H25" s="2" t="s">
        <v>117</v>
      </c>
      <c r="I25" s="2" t="s">
        <v>118</v>
      </c>
      <c r="J25" s="2" t="s">
        <v>119</v>
      </c>
      <c r="K25" s="14" t="s">
        <v>120</v>
      </c>
      <c r="L25" s="14" t="s">
        <v>121</v>
      </c>
    </row>
    <row r="26" spans="1:12">
      <c r="A26" s="15" t="s">
        <v>26</v>
      </c>
      <c r="C26" s="17">
        <v>8.98</v>
      </c>
      <c r="D26" s="26"/>
      <c r="E26" s="26"/>
      <c r="F26" s="17"/>
      <c r="G26" s="17"/>
      <c r="H26" s="17"/>
      <c r="I26" s="17"/>
      <c r="J26" s="17"/>
      <c r="K26" s="26"/>
      <c r="L26" s="26"/>
    </row>
    <row r="27" spans="1:12">
      <c r="A27" s="15" t="s">
        <v>27</v>
      </c>
      <c r="C27" s="17">
        <v>2.5299999999999998</v>
      </c>
      <c r="D27" s="26"/>
      <c r="E27" s="26"/>
      <c r="F27" s="17"/>
      <c r="G27" s="17"/>
      <c r="H27" s="17"/>
      <c r="I27" s="17"/>
      <c r="J27" s="17"/>
      <c r="K27" s="26"/>
      <c r="L27" s="26"/>
    </row>
    <row r="28" spans="1:12">
      <c r="A28" s="15" t="s">
        <v>28</v>
      </c>
      <c r="C28" s="17">
        <v>3.61</v>
      </c>
      <c r="D28" s="26"/>
      <c r="E28" s="26"/>
      <c r="F28" s="17"/>
      <c r="G28" s="17"/>
      <c r="H28" s="17"/>
      <c r="I28" s="17"/>
      <c r="J28" s="17"/>
      <c r="K28" s="26"/>
      <c r="L28" s="26"/>
    </row>
    <row r="29" spans="1:12">
      <c r="A29" s="15" t="s">
        <v>29</v>
      </c>
      <c r="C29" s="17">
        <v>3.42</v>
      </c>
      <c r="D29" s="26"/>
      <c r="E29" s="26"/>
      <c r="F29" s="17"/>
      <c r="G29" s="17"/>
      <c r="H29" s="17"/>
      <c r="I29" s="17"/>
      <c r="J29" s="17"/>
      <c r="K29" s="26"/>
      <c r="L29" s="26"/>
    </row>
    <row r="30" spans="1:12">
      <c r="A30" s="15" t="s">
        <v>30</v>
      </c>
      <c r="C30" s="17">
        <v>2.04</v>
      </c>
      <c r="D30" s="26"/>
      <c r="E30" s="26"/>
      <c r="F30" s="17"/>
      <c r="G30" s="17"/>
      <c r="H30" s="17"/>
      <c r="I30" s="17"/>
      <c r="J30" s="17"/>
      <c r="K30" s="26"/>
      <c r="L30" s="26"/>
    </row>
    <row r="31" spans="1:12">
      <c r="A31" s="15" t="s">
        <v>31</v>
      </c>
      <c r="C31" s="17">
        <v>2.65</v>
      </c>
      <c r="D31" s="26"/>
      <c r="E31" s="26"/>
      <c r="F31" s="17"/>
      <c r="G31" s="17"/>
      <c r="H31" s="17"/>
      <c r="I31" s="17"/>
      <c r="J31" s="17"/>
      <c r="K31" s="26"/>
      <c r="L31" s="26"/>
    </row>
    <row r="32" spans="1:12">
      <c r="A32" s="15" t="s">
        <v>32</v>
      </c>
      <c r="C32" s="17">
        <v>8.93</v>
      </c>
      <c r="D32" s="26"/>
      <c r="E32" s="26"/>
      <c r="F32" s="17"/>
      <c r="G32" s="17"/>
      <c r="H32" s="17"/>
      <c r="I32" s="17"/>
      <c r="J32" s="17"/>
      <c r="K32" s="26"/>
      <c r="L32" s="26"/>
    </row>
    <row r="35" spans="1:12">
      <c r="A35" s="27" t="s">
        <v>124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1:12">
      <c r="A36" s="27" t="s">
        <v>125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</sheetData>
  <mergeCells count="3">
    <mergeCell ref="A36:L36"/>
    <mergeCell ref="A1:L1"/>
    <mergeCell ref="A35:L35"/>
  </mergeCells>
  <phoneticPr fontId="11" type="noConversion"/>
  <pageMargins left="0.35" right="0.3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Resumen</vt:lpstr>
      <vt:lpstr>Plan 17-jul</vt:lpstr>
      <vt:lpstr>Horizonte</vt:lpstr>
      <vt:lpstr>Logica</vt:lpstr>
      <vt:lpstr>No planeadas</vt:lpstr>
      <vt:lpstr>Part</vt:lpstr>
      <vt:lpstr>Horizonte!Área_de_impresión</vt:lpstr>
      <vt:lpstr>Logica!Área_de_impresión</vt:lpstr>
      <vt:lpstr>'No planeadas'!Área_de_impresión</vt:lpstr>
      <vt:lpstr>Part!Área_de_impresión</vt:lpstr>
      <vt:lpstr>'Plan 17-jul'!Área_de_impresión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yahir leon perez</cp:lastModifiedBy>
  <dcterms:created xsi:type="dcterms:W3CDTF">2026-07-16T15:47:41Z</dcterms:created>
  <dcterms:modified xsi:type="dcterms:W3CDTF">2026-07-16T22:14:45Z</dcterms:modified>
</cp:coreProperties>
</file>